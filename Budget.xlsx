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tkzhang_connect_ust_hk/Documents/26 Spring/MECH3907/2026-MECH3907-Gp7-TTB-shooter/"/>
    </mc:Choice>
  </mc:AlternateContent>
  <xr:revisionPtr revIDLastSave="395" documentId="11_C05832F84A9D4BDE4F2273C8C3656160CE96F8EA" xr6:coauthVersionLast="47" xr6:coauthVersionMax="47" xr10:uidLastSave="{64ADBFEE-08AB-47F6-ADDB-8128FA49271E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JOoAVvqogfrT1I7PIpTCRMqnODz7I7qpVB1U+HGoOk="/>
    </ext>
  </extLst>
</workbook>
</file>

<file path=xl/calcChain.xml><?xml version="1.0" encoding="utf-8"?>
<calcChain xmlns="http://schemas.openxmlformats.org/spreadsheetml/2006/main">
  <c r="H22" i="1" l="1"/>
  <c r="H21" i="1"/>
  <c r="H20" i="1"/>
  <c r="H10" i="1" l="1"/>
  <c r="H11" i="1"/>
  <c r="H12" i="1"/>
  <c r="H13" i="1"/>
  <c r="H16" i="1"/>
  <c r="H14" i="1"/>
  <c r="H19" i="1"/>
  <c r="H18" i="1"/>
  <c r="H17" i="1"/>
  <c r="H15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<sst xmlns="http://schemas.openxmlformats.org/spreadsheetml/2006/main" count="61" uniqueCount="44">
  <si>
    <t>Item 
no.</t>
  </si>
  <si>
    <t>Item</t>
  </si>
  <si>
    <t>Link</t>
  </si>
  <si>
    <t>Remarks</t>
  </si>
  <si>
    <t>Qty</t>
  </si>
  <si>
    <t>Payment Currency</t>
  </si>
  <si>
    <t>Unit Price</t>
  </si>
  <si>
    <t>Amount
(Currency)</t>
  </si>
  <si>
    <t>CNY</t>
  </si>
  <si>
    <t>PU wheels</t>
    <phoneticPr fontId="13" type="noConversion"/>
  </si>
  <si>
    <t xml:space="preserve">https://item.taobao.com/item.htm?from=cart&amp;id=977597886476&amp;mi_id=0000oMXxd9VuWh7msooTErOX0oskzZYpF2zslPSVS5hNNeQ&amp;skuId=5933876197883&amp;spm=a1z0d.6639537%2F202410.item.d977597886476.3d385886TqyZCj&amp;upStreamPrice=3300 </t>
    <phoneticPr fontId="13" type="noConversion"/>
  </si>
  <si>
    <t>42 Stepper</t>
    <phoneticPr fontId="13" type="noConversion"/>
  </si>
  <si>
    <t>https://item.taobao.com/item.htm?id=911339126038&amp;last_time=1770621623&amp;mi_id=0000gF5XnzAuv94NWhwSFjFjHtR2LjKaNJGvevs4v8Qxpqk&amp;scm=1007.13982.82927.0&amp;spm=tbpc.mytb_footmark.item.goods&amp;upStreamPrice=1500&amp;skuId=5942512971982</t>
    <phoneticPr fontId="13" type="noConversion"/>
  </si>
  <si>
    <t>Encoder</t>
    <phoneticPr fontId="13" type="noConversion"/>
  </si>
  <si>
    <t xml:space="preserve">https://item.taobao.com/item.htm?id=610353164151&amp;last_time=1770618794&amp;mi_id=0000b-0q8oUShhTT0hD0lksW61UDeLp91JYJ5hjGIGT-elI&amp;scm=1007.13982.82927.0&amp;spm=tbpc.mytb_footmark.item.goods&amp;upStreamPrice=473&amp;skuId=4532825905535 </t>
    <phoneticPr fontId="13" type="noConversion"/>
  </si>
  <si>
    <t>28 Stepper w. Lead screw w. nut</t>
    <phoneticPr fontId="13" type="noConversion"/>
  </si>
  <si>
    <t xml:space="preserve">https://detail.tmall.com/item.htm?from=cart&amp;id=939200941082&amp;mi_id=0000BF_yUCnCOlilymJlhDiRvcyDeDnGbDN3jJ4XpFwNfPE&amp;skuId=6001434703301&amp;spm=a1z0d.6639537%2F202410.item.d939200941082.3d385886TqyZCj&amp;upStreamPrice=2200 </t>
    <phoneticPr fontId="13" type="noConversion"/>
  </si>
  <si>
    <t>Shaft</t>
    <phoneticPr fontId="13" type="noConversion"/>
  </si>
  <si>
    <t xml:space="preserve">https://detail.tmall.com/item.htm?id=723936088400&amp;last_time=1770621912&amp;mi_id=0000g-BbowihAK0gqZv9-7_Plaoo5NThVtoo2cdPGsFwZLk&amp;scm=1007.13982.82927.0&amp;skuId=5029064740093&amp;spm=tbpc.mytb_footmark.item.goods&amp;upStreamPrice=550 </t>
    <phoneticPr fontId="13" type="noConversion"/>
  </si>
  <si>
    <t>Linear bearing</t>
    <phoneticPr fontId="13" type="noConversion"/>
  </si>
  <si>
    <t>https://item.taobao.com/item.htm?from=cart&amp;id=714512280354&amp;mi_id=0000-VPmLBfmT9NQnne--9BJzhLwdJX7qGJCnjrp3IczNy0&amp;skuId=5002569157472&amp;spm=a1z0d.6639537%2F202410.item.d714512280354.3d385886TqyZCj&amp;upStreamPrice=170</t>
    <phoneticPr fontId="13" type="noConversion"/>
  </si>
  <si>
    <t>Coupler</t>
    <phoneticPr fontId="13" type="noConversion"/>
  </si>
  <si>
    <t xml:space="preserve">https://item.taobao.com/item.htm?from=cart&amp;id=567933755449&amp;mi_id=0000khAZDC1_7btHN-U8GeP3VI1kxoi7WNCBXTXU_mOWCw0&amp;skuId=4104578295409&amp;spm=a1z0d.6639537%2F202410.item.d567933755449.3d385886TqyZCj&amp;upStreamPrice=2400 </t>
    <phoneticPr fontId="13" type="noConversion"/>
  </si>
  <si>
    <t>Z21 - 5*16*11</t>
    <phoneticPr fontId="13" type="noConversion"/>
  </si>
  <si>
    <t xml:space="preserve">https://item.taobao.com/item.htm?abbucket=3&amp;id=588096657853&amp;mi_id=0000wcrxEWxjGnVqV1EtPKLfYc-xaoayPOO1ndrYif0qneY&amp;ns=1&amp;priceTId=2100c89317718531649681067e0cdb&amp;skuId=4009433069850&amp;spm=a21n57.1.hoverItem.2&amp;utparam=%7B%22aplus_abtest%22%3A%22a8937da123f65f19e1c9c155c626044f%22%7D&amp;xxc=taobaoSearch </t>
    <phoneticPr fontId="13" type="noConversion"/>
  </si>
  <si>
    <t>XRU1008UUCC0/P5</t>
    <phoneticPr fontId="13" type="noConversion"/>
  </si>
  <si>
    <t xml:space="preserve">https://item.taobao.com/item.htm?abbucket=3&amp;id=773044688198&amp;mi_id=0000o0TQRHP5WYfrXn7yVnNYE7hnSj8OjiIN9DrkrLe5zTw&amp;ns=1&amp;priceTId=2100c89317718532634203533e0cdb&amp;spm=a21n57.1.hoverItem.2&amp;utparam=%7B%22aplus_abtest%22%3A%22f302a93986c91eb5bf3d5fda48988bfd%22%7D&amp;xxc=taobaoSearch&amp;skuId=5463603075088 </t>
    <phoneticPr fontId="13" type="noConversion"/>
  </si>
  <si>
    <t>F626ZZ</t>
    <phoneticPr fontId="13" type="noConversion"/>
  </si>
  <si>
    <t xml:space="preserve">https://item.taobao.com/item.htm?abbucket=3&amp;id=787710083854&amp;mi_id=0000dH7WFqPo0VTsYjpnAS_Q4XCGEMyEbrfLht3nhTk_3H4&amp;ns=1&amp;priceTId=2100c89317718533692436712e0cdb&amp;spm=a21n57.1.hoverItem.1&amp;utparam=%7B%22aplus_abtest%22%3A%224c2fa0c1d9d46ededc0a99b18837d993%22%7D&amp;xxc=taobaoSearch&amp;skuId=5548210563574 </t>
    <phoneticPr fontId="13" type="noConversion"/>
  </si>
  <si>
    <t>shoulder screw</t>
    <phoneticPr fontId="13" type="noConversion"/>
  </si>
  <si>
    <t xml:space="preserve">https://detail.tmall.com/item.htm?abbucket=8&amp;id=683698385971&amp;pisk=gM5jrBg1Pmmjz0zYXmzrA99LMOA1CzPeWVTO-NhqWIdYC5sN4mWV3NnOfNsR_dKNuCa1q3520ZRvfC_hAi-2Qx5SeFTxBch9k4nJVihw31_i1FQOjrxao87coCATYkR_TZb0t4Ow4sMx2bQk7EnYUKhjiah7YkPU1-3J1oZFuDTiTgLBJCLvDdh8Pe8sHCp9kaUWWFovXnIOyztkSch9kjKRyeLwkCLt63HJuEhxXEHx2QKkWCHv6GQ8PF-JXCdOXaHUYuTuhnQb5suYRiZFCZKS6fCYiKtIL3Lkz_ZWHH_AGV0iIE9XvZKuxJZOkLQMC10i1nQAKGYdDmEenNB5VEO_axddPOIBrsFEcUXVyw-RR2hdoI6COIBbqYAVc_dRM9gt6aOXmLLWFmZWvsbRtQpz9y_RZi7cNNuT6USe2Zfv1WUHGIKvNUfaqjK1eOC2nCmYYKbOFgTX9glsTHT9mAgWKfTWYzaSIAAHlwK_gejVxKLkz6z7PmMMHUYWYzaSIAvvrU5UPzijI&amp;rn=706b9c470d1bf18be76c61f71dcf44c0&amp;skuId=5888866023737&amp;spm=a312a.7700824.w4011-25593304449.228.10ec4af44imHfi </t>
    <phoneticPr fontId="13" type="noConversion"/>
  </si>
  <si>
    <t>Custom GFP/acrylic/3DP/AlTubes</t>
    <phoneticPr fontId="13" type="noConversion"/>
  </si>
  <si>
    <t>N/A</t>
    <phoneticPr fontId="13" type="noConversion"/>
  </si>
  <si>
    <t>DC motor driver board</t>
    <phoneticPr fontId="13" type="noConversion"/>
  </si>
  <si>
    <t>https://item.taobao.com/item.htm?id=709077445099&amp;last_time=1770622593&amp;mi_id=0000q6_QHYY4b842GUIstctLBm-2s8EoWVLyLHJUGviNROs&amp;scm=1007.13982.82927.0&amp;spm=tbpc.mytb_footmark.item.goods&amp;upStreamPrice=1220</t>
    <phoneticPr fontId="13" type="noConversion"/>
  </si>
  <si>
    <t>Stepper driver board</t>
    <phoneticPr fontId="13" type="noConversion"/>
  </si>
  <si>
    <t xml:space="preserve">https://item.taobao.com/item.htm?from=cart&amp;id=584769820744&amp;mi_id=0000F0LMx-8wLPqUDZittebLfVo1fM1DiJPHyZd_Fdx6guM&amp;skuId=5201224983975&amp;spm=a1z0d.6639537%2F202410.item.d584769820744.3d385886fRT9YK&amp;upStreamPrice=670 </t>
    <phoneticPr fontId="13" type="noConversion"/>
  </si>
  <si>
    <t>Arduino (mainland ver.)</t>
    <phoneticPr fontId="13" type="noConversion"/>
  </si>
  <si>
    <t xml:space="preserve">https://detail.tmall.com/item.htm?id=668740881607&amp;last_time=1770623640&amp;mi_id=00007rYefcmTlwvugBbju7XIR-btM4O1wykDZ1jW11v38Kc&amp;scm=1007.13982.82927.0&amp;skuId=4965377312682&amp;spm=tbpc.mytb_footmark.item.goods&amp;upStreamPrice=1039 </t>
    <phoneticPr fontId="13" type="noConversion"/>
  </si>
  <si>
    <t>TCA9548A</t>
    <phoneticPr fontId="13" type="noConversion"/>
  </si>
  <si>
    <t xml:space="preserve">https://item.taobao.com/item.htm?from=cart&amp;id=837011425535&amp;mi_id=00002JJiWREtcmVTrHMfal0z-u4fnfVPven3LmJKz-rVWXQ&amp;skuId=5762086830849&amp;spm=a1z0d.6639537%2F202410.item.d837011425535.45007484wUxzaw&amp;upStreamPrice=1056 </t>
    <phoneticPr fontId="13" type="noConversion"/>
  </si>
  <si>
    <t>Grand Total</t>
    <phoneticPr fontId="13" type="noConversion"/>
  </si>
  <si>
    <t>https://item.taobao.com/item.htm?from=cart&amp;id=837011425535&amp;mi_id=00002JJiWREtcmVTrHMfal0z-u4fnfVPven3LmJKz-rVWXQ&amp;skuId=5762086830849&amp;spm=a1z0d.6639537%2F202410.item.d837011425535.45007484wUxzaw&amp;upStreamPrice=1057</t>
  </si>
  <si>
    <t>Trigger button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</si>
</sst>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d/m/yyyy"/>
    <numFmt numFmtId="178" formatCode="_-[$CNY]\ * #,##0.00_-;\-[$CNY]\ * #,##0.00_-;_-[$CNY]\ * &quot;-&quot;??_-;_-@"/>
    <numFmt numFmtId="179" formatCode="_ [$¥-804]* #,##0.00_ ;_ [$¥-804]* \-#,##0.00_ ;_ [$¥-804]* &quot;-&quot;??_ ;_ @_ "/>
    <numFmt numFmtId="181" formatCode="_([$HK$-C04]* #,##0.00_);_([$HK$-C04]* \(#,##0.00\);_([$HK$-C04]* &quot;-&quot;??_);_(@_)"/>
  </numFmts>
  <fonts count="18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PMingLiu"/>
      <family val="1"/>
      <charset val="136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Calibri"/>
    </font>
    <font>
      <sz val="11"/>
      <color rgb="FF0000FF"/>
      <name val="Times New Roman"/>
    </font>
    <font>
      <u/>
      <sz val="12"/>
      <color rgb="FF0000FF"/>
      <name val="PMingLiu"/>
      <family val="1"/>
      <charset val="136"/>
    </font>
    <font>
      <sz val="11"/>
      <name val="Calibri"/>
    </font>
    <font>
      <b/>
      <sz val="12"/>
      <color rgb="FF000000"/>
      <name val="Arial"/>
      <family val="2"/>
    </font>
    <font>
      <sz val="12"/>
      <color theme="1"/>
      <name val="Calibri"/>
      <family val="2"/>
    </font>
    <font>
      <b/>
      <sz val="11"/>
      <color theme="1"/>
      <name val="Times New Roman"/>
      <family val="1"/>
    </font>
    <font>
      <sz val="9"/>
      <name val="Calibri"/>
      <family val="3"/>
      <charset val="136"/>
      <scheme val="minor"/>
    </font>
    <font>
      <sz val="12"/>
      <color rgb="FF11192D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11192D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5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77" fontId="1" fillId="2" borderId="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8" fontId="2" fillId="0" borderId="7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7" xfId="1" applyBorder="1" applyAlignment="1">
      <alignment vertical="center"/>
    </xf>
    <xf numFmtId="179" fontId="1" fillId="4" borderId="8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81" fontId="2" fillId="0" borderId="9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5" fillId="0" borderId="0" xfId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4" fillId="0" borderId="14" xfId="0" applyFont="1" applyFill="1" applyBorder="1" applyAlignment="1">
      <alignment vertical="center"/>
    </xf>
    <xf numFmtId="0" fontId="15" fillId="0" borderId="14" xfId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1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78" fontId="2" fillId="0" borderId="14" xfId="0" applyNumberFormat="1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from=cart&amp;id=837011425535&amp;mi_id=00002JJiWREtcmVTrHMfal0z-u4fnfVPven3LmJKz-rVWXQ&amp;skuId=5762086830849&amp;spm=a1z0d.6639537%2F202410.item.d837011425535.45007484wUxzaw&amp;upStreamPrice=1056" TargetMode="External"/><Relationship Id="rId13" Type="http://schemas.openxmlformats.org/officeDocument/2006/relationships/hyperlink" Target="https://item.taobao.com/item.htm?from=cart&amp;id=837011425535&amp;mi_id=00002JJiWREtcmVTrHMfal0z-u4fnfVPven3LmJKz-rVWXQ&amp;skuId=5762086830849&amp;spm=a1z0d.6639537%2F202410.item.d837011425535.45007484wUxzaw&amp;upStreamPrice=1056" TargetMode="External"/><Relationship Id="rId3" Type="http://schemas.openxmlformats.org/officeDocument/2006/relationships/hyperlink" Target="https://detail.tmall.com/item.htm?from=cart&amp;id=939200941082&amp;mi_id=0000BF_yUCnCOlilymJlhDiRvcyDeDnGbDN3jJ4XpFwNfPE&amp;skuId=6001434703301&amp;spm=a1z0d.6639537%2F202410.item.d939200941082.3d385886TqyZCj&amp;upStreamPrice=2200" TargetMode="External"/><Relationship Id="rId7" Type="http://schemas.openxmlformats.org/officeDocument/2006/relationships/hyperlink" Target="https://item.taobao.com/item.htm?abbucket=3&amp;id=787710083854&amp;mi_id=0000dH7WFqPo0VTsYjpnAS_Q4XCGEMyEbrfLht3nhTk_3H4&amp;ns=1&amp;priceTId=2100c89317718533692436712e0cdb&amp;spm=a21n57.1.hoverItem.1&amp;utparam=%7B%22aplus_abtest%22%3A%224c2fa0c1d9d46ededc0a99b18837d993%22%7D&amp;xxc=taobaoSearch&amp;skuId=5548210563574" TargetMode="External"/><Relationship Id="rId12" Type="http://schemas.openxmlformats.org/officeDocument/2006/relationships/hyperlink" Target="https://item.taobao.com/item.htm?from=cart&amp;id=977597886476&amp;mi_id=0000oMXxd9VuWh7msooTErOX0oskzZYpF2zslPSVS5hNNeQ&amp;skuId=5933876197883&amp;spm=a1z0d.6639537%2F202410.item.d977597886476.3d385886TqyZCj&amp;upStreamPrice=3300" TargetMode="External"/><Relationship Id="rId2" Type="http://schemas.openxmlformats.org/officeDocument/2006/relationships/hyperlink" Target="https://item.taobao.com/item.htm?id=610353164151&amp;last_time=1770618794&amp;mi_id=0000b-0q8oUShhTT0hD0lksW61UDeLp91JYJ5hjGIGT-elI&amp;scm=1007.13982.82927.0&amp;spm=tbpc.mytb_footmark.item.goods&amp;upStreamPrice=473&amp;skuId=4532825905535" TargetMode="External"/><Relationship Id="rId1" Type="http://schemas.openxmlformats.org/officeDocument/2006/relationships/hyperlink" Target="https://item.taobao.com/item.htm?id=911339126038&amp;last_time=1770621623&amp;mi_id=0000gF5XnzAuv94NWhwSFjFjHtR2LjKaNJGvevs4v8Qxpqk&amp;scm=1007.13982.82927.0&amp;spm=tbpc.mytb_footmark.item.goods&amp;upStreamPrice=1500&amp;skuId=5942512971982" TargetMode="External"/><Relationship Id="rId6" Type="http://schemas.openxmlformats.org/officeDocument/2006/relationships/hyperlink" Target="https://item.taobao.com/item.htm?abbucket=3&amp;id=773044688198&amp;mi_id=0000o0TQRHP5WYfrXn7yVnNYE7hnSj8OjiIN9DrkrLe5zTw&amp;ns=1&amp;priceTId=2100c89317718532634203533e0cdb&amp;spm=a21n57.1.hoverItem.2&amp;utparam=%7B%22aplus_abtest%22%3A%22f302a93986c91eb5bf3d5fda48988bfd%22%7D&amp;xxc=taobaoSearch&amp;skuId=5463603075088" TargetMode="External"/><Relationship Id="rId11" Type="http://schemas.openxmlformats.org/officeDocument/2006/relationships/hyperlink" Target="https://detail.tmall.com/item.htm?id=668740881607&amp;last_time=1770623640&amp;mi_id=00007rYefcmTlwvugBbju7XIR-btM4O1wykDZ1jW11v38Kc&amp;scm=1007.13982.82927.0&amp;skuId=4965377312682&amp;spm=tbpc.mytb_footmark.item.goods&amp;upStreamPrice=1039" TargetMode="External"/><Relationship Id="rId5" Type="http://schemas.openxmlformats.org/officeDocument/2006/relationships/hyperlink" Target="https://item.taobao.com/item.htm?from=cart&amp;id=567933755449&amp;mi_id=0000khAZDC1_7btHN-U8GeP3VI1kxoi7WNCBXTXU_mOWCw0&amp;skuId=4104578295409&amp;spm=a1z0d.6639537%2F202410.item.d567933755449.3d385886TqyZCj&amp;upStreamPrice=2400" TargetMode="External"/><Relationship Id="rId10" Type="http://schemas.openxmlformats.org/officeDocument/2006/relationships/hyperlink" Target="https://item.taobao.com/item.htm?from=cart&amp;id=584769820744&amp;mi_id=0000F0LMx-8wLPqUDZittebLfVo1fM1DiJPHyZd_Fdx6guM&amp;skuId=5201224983975&amp;spm=a1z0d.6639537%2F202410.item.d584769820744.3d385886fRT9YK&amp;upStreamPrice=670" TargetMode="External"/><Relationship Id="rId4" Type="http://schemas.openxmlformats.org/officeDocument/2006/relationships/hyperlink" Target="https://detail.tmall.com/item.htm?id=723936088400&amp;last_time=1770621912&amp;mi_id=0000g-BbowihAK0gqZv9-7_Plaoo5NThVtoo2cdPGsFwZLk&amp;scm=1007.13982.82927.0&amp;skuId=5029064740093&amp;spm=tbpc.mytb_footmark.item.goods&amp;upStreamPrice=550" TargetMode="External"/><Relationship Id="rId9" Type="http://schemas.openxmlformats.org/officeDocument/2006/relationships/hyperlink" Target="https://item.taobao.com/item.htm?abbucket=3&amp;id=588096657853&amp;mi_id=0000wcrxEWxjGnVqV1EtPKLfYc-xaoayPOO1ndrYif0qneY&amp;ns=1&amp;priceTId=2100c89317718531649681067e0cdb&amp;skuId=4009433069850&amp;spm=a21n57.1.hoverItem.2&amp;utparam=%7B%22aplus_abtest%22%3A%22a8937da123f65f19e1c9c155c626044f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07"/>
  <sheetViews>
    <sheetView tabSelected="1" zoomScale="85" zoomScaleNormal="85" workbookViewId="0">
      <selection activeCell="L19" sqref="L19"/>
    </sheetView>
  </sheetViews>
  <sheetFormatPr defaultColWidth="14.44140625" defaultRowHeight="15" customHeight="1"/>
  <cols>
    <col min="1" max="1" width="6.77734375" bestFit="1" customWidth="1"/>
    <col min="2" max="2" width="36.44140625" bestFit="1" customWidth="1"/>
    <col min="3" max="3" width="86.109375" hidden="1" customWidth="1"/>
    <col min="4" max="4" width="32.5546875" hidden="1" customWidth="1"/>
    <col min="5" max="5" width="5.5546875" bestFit="1" customWidth="1"/>
    <col min="6" max="6" width="11.88671875" bestFit="1" customWidth="1"/>
    <col min="7" max="7" width="8.33203125" bestFit="1" customWidth="1"/>
    <col min="8" max="8" width="14.33203125" bestFit="1" customWidth="1"/>
    <col min="9" max="9" width="3.6640625" customWidth="1"/>
    <col min="10" max="10" width="24.33203125" customWidth="1"/>
    <col min="11" max="11" width="12" customWidth="1"/>
    <col min="12" max="21" width="8.88671875" customWidth="1"/>
  </cols>
  <sheetData>
    <row r="1" spans="1:21" ht="19.95" customHeight="1">
      <c r="A1" s="26"/>
      <c r="B1" s="8"/>
      <c r="C1" s="8"/>
      <c r="D1" s="8"/>
      <c r="E1" s="8"/>
      <c r="F1" s="8"/>
      <c r="G1" s="8"/>
      <c r="H1" s="8"/>
      <c r="I1" s="1"/>
      <c r="J1" s="1"/>
      <c r="K1" s="2"/>
      <c r="L1" s="1"/>
      <c r="M1" s="1"/>
      <c r="N1" s="1"/>
      <c r="O1" s="1"/>
      <c r="P1" s="1"/>
      <c r="Q1" s="1"/>
      <c r="R1" s="1"/>
      <c r="S1" s="3"/>
      <c r="T1" s="3"/>
      <c r="U1" s="3"/>
    </row>
    <row r="2" spans="1:21" ht="31.2">
      <c r="A2" s="28" t="s">
        <v>0</v>
      </c>
      <c r="B2" s="28" t="s">
        <v>1</v>
      </c>
      <c r="C2" s="30" t="s">
        <v>2</v>
      </c>
      <c r="D2" s="28" t="s">
        <v>3</v>
      </c>
      <c r="E2" s="30" t="s">
        <v>4</v>
      </c>
      <c r="F2" s="28" t="s">
        <v>5</v>
      </c>
      <c r="G2" s="28" t="s">
        <v>6</v>
      </c>
      <c r="H2" s="54" t="s">
        <v>7</v>
      </c>
      <c r="I2" s="1"/>
      <c r="J2" s="1"/>
      <c r="K2" s="2"/>
      <c r="L2" s="1"/>
      <c r="M2" s="1"/>
      <c r="N2" s="1"/>
      <c r="O2" s="1"/>
      <c r="P2" s="1"/>
      <c r="Q2" s="1"/>
      <c r="R2" s="1"/>
      <c r="S2" s="3"/>
      <c r="T2" s="3"/>
      <c r="U2" s="3"/>
    </row>
    <row r="3" spans="1:21" ht="16.2">
      <c r="A3" s="29"/>
      <c r="B3" s="29"/>
      <c r="C3" s="31"/>
      <c r="D3" s="29"/>
      <c r="E3" s="29"/>
      <c r="F3" s="36"/>
      <c r="G3" s="29"/>
      <c r="H3" s="10" t="s">
        <v>8</v>
      </c>
      <c r="I3" s="1"/>
      <c r="J3" s="25"/>
      <c r="K3" s="2"/>
      <c r="L3" s="1"/>
      <c r="M3" s="1"/>
      <c r="N3" s="1"/>
      <c r="O3" s="1"/>
      <c r="P3" s="1"/>
      <c r="Q3" s="1"/>
      <c r="R3" s="1"/>
      <c r="S3" s="3"/>
      <c r="T3" s="3"/>
      <c r="U3" s="3"/>
    </row>
    <row r="4" spans="1:21" ht="19.95" customHeight="1">
      <c r="A4" s="11">
        <v>1</v>
      </c>
      <c r="B4" s="37" t="s">
        <v>9</v>
      </c>
      <c r="C4" s="21" t="s">
        <v>10</v>
      </c>
      <c r="D4" s="13"/>
      <c r="E4" s="14">
        <v>3</v>
      </c>
      <c r="F4" s="12" t="s">
        <v>8</v>
      </c>
      <c r="G4" s="15">
        <v>33</v>
      </c>
      <c r="H4" s="16">
        <f t="shared" ref="H4:H23" si="0">IF(F4 = H$3,$E4*$G4,)</f>
        <v>99</v>
      </c>
      <c r="I4" s="1"/>
      <c r="J4" s="25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9.95" customHeight="1">
      <c r="A5" s="11">
        <v>2</v>
      </c>
      <c r="B5" s="37" t="s">
        <v>11</v>
      </c>
      <c r="C5" s="21" t="s">
        <v>12</v>
      </c>
      <c r="D5" s="13"/>
      <c r="E5" s="14">
        <v>1</v>
      </c>
      <c r="F5" s="12" t="s">
        <v>8</v>
      </c>
      <c r="G5" s="15">
        <v>19</v>
      </c>
      <c r="H5" s="16">
        <f t="shared" si="0"/>
        <v>19</v>
      </c>
      <c r="I5" s="4"/>
      <c r="J5" s="25"/>
      <c r="K5" s="5"/>
      <c r="L5" s="6"/>
      <c r="M5" s="6"/>
      <c r="N5" s="6"/>
      <c r="O5" s="6"/>
      <c r="P5" s="6"/>
      <c r="Q5" s="6"/>
      <c r="R5" s="6"/>
      <c r="S5" s="1"/>
      <c r="T5" s="1"/>
      <c r="U5" s="1"/>
    </row>
    <row r="6" spans="1:21" ht="19.95" customHeight="1">
      <c r="A6" s="11">
        <v>3</v>
      </c>
      <c r="B6" s="37" t="s">
        <v>13</v>
      </c>
      <c r="C6" s="21" t="s">
        <v>14</v>
      </c>
      <c r="D6" s="13"/>
      <c r="E6" s="14">
        <v>3</v>
      </c>
      <c r="F6" s="12" t="s">
        <v>8</v>
      </c>
      <c r="G6" s="15">
        <v>5</v>
      </c>
      <c r="H6" s="16">
        <f t="shared" si="0"/>
        <v>15</v>
      </c>
      <c r="I6" s="1"/>
      <c r="J6" s="25"/>
      <c r="K6" s="2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9.95" customHeight="1">
      <c r="A7" s="11">
        <v>4</v>
      </c>
      <c r="B7" s="37" t="s">
        <v>15</v>
      </c>
      <c r="C7" s="21" t="s">
        <v>16</v>
      </c>
      <c r="D7" s="13"/>
      <c r="E7" s="14">
        <v>1</v>
      </c>
      <c r="F7" s="12" t="s">
        <v>8</v>
      </c>
      <c r="G7" s="15">
        <v>22</v>
      </c>
      <c r="H7" s="16">
        <f t="shared" si="0"/>
        <v>22</v>
      </c>
      <c r="I7" s="4"/>
      <c r="J7" s="25"/>
      <c r="K7" s="5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9.95" customHeight="1">
      <c r="A8" s="11">
        <v>5</v>
      </c>
      <c r="B8" s="37" t="s">
        <v>17</v>
      </c>
      <c r="C8" s="21" t="s">
        <v>18</v>
      </c>
      <c r="D8" s="13"/>
      <c r="E8" s="14">
        <v>1</v>
      </c>
      <c r="F8" s="11" t="s">
        <v>8</v>
      </c>
      <c r="G8" s="15">
        <v>5.5</v>
      </c>
      <c r="H8" s="16">
        <f t="shared" si="0"/>
        <v>5.5</v>
      </c>
      <c r="I8" s="7"/>
      <c r="J8" s="25"/>
      <c r="K8" s="5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9.95" customHeight="1">
      <c r="A9" s="11">
        <v>6</v>
      </c>
      <c r="B9" s="37" t="s">
        <v>19</v>
      </c>
      <c r="C9" s="21" t="s">
        <v>20</v>
      </c>
      <c r="D9" s="13"/>
      <c r="E9" s="14">
        <v>2</v>
      </c>
      <c r="F9" s="11" t="s">
        <v>8</v>
      </c>
      <c r="G9" s="15">
        <v>3</v>
      </c>
      <c r="H9" s="16">
        <f t="shared" si="0"/>
        <v>6</v>
      </c>
      <c r="I9" s="9"/>
      <c r="J9" s="25"/>
      <c r="K9" s="2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9.95" customHeight="1">
      <c r="A10" s="11">
        <v>7</v>
      </c>
      <c r="B10" s="37" t="s">
        <v>21</v>
      </c>
      <c r="C10" s="21" t="s">
        <v>22</v>
      </c>
      <c r="D10" s="13"/>
      <c r="E10" s="14">
        <v>3</v>
      </c>
      <c r="F10" s="11" t="s">
        <v>8</v>
      </c>
      <c r="G10" s="15">
        <v>25</v>
      </c>
      <c r="H10" s="16">
        <f>IF(F10 = H$3,$E10*$G10,)</f>
        <v>75</v>
      </c>
      <c r="I10" s="9"/>
      <c r="J10" s="25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9.95" customHeight="1">
      <c r="A11" s="11">
        <v>8</v>
      </c>
      <c r="B11" s="37" t="s">
        <v>23</v>
      </c>
      <c r="C11" s="21" t="s">
        <v>24</v>
      </c>
      <c r="E11" s="14">
        <v>1</v>
      </c>
      <c r="F11" s="11" t="s">
        <v>8</v>
      </c>
      <c r="G11" s="15">
        <v>15.8</v>
      </c>
      <c r="H11" s="16">
        <f>IF(F11 = H$3,$E11*$G11,)</f>
        <v>15.8</v>
      </c>
      <c r="I11" s="9"/>
      <c r="J11" s="25"/>
      <c r="K11" s="1"/>
      <c r="L11" s="25"/>
      <c r="N11" s="1"/>
      <c r="O11" s="1"/>
      <c r="P11" s="1"/>
      <c r="Q11" s="1"/>
      <c r="R11" s="1"/>
      <c r="S11" s="1"/>
      <c r="T11" s="1"/>
      <c r="U11" s="1"/>
    </row>
    <row r="12" spans="1:21" ht="19.95" customHeight="1">
      <c r="A12" s="11">
        <v>9</v>
      </c>
      <c r="B12" s="37" t="s">
        <v>25</v>
      </c>
      <c r="C12" s="21" t="s">
        <v>26</v>
      </c>
      <c r="E12" s="14">
        <v>1</v>
      </c>
      <c r="F12" s="11" t="s">
        <v>8</v>
      </c>
      <c r="G12" s="15">
        <v>68</v>
      </c>
      <c r="H12" s="16">
        <f>IF(F12 = H$3,$E12*$G12,)</f>
        <v>68</v>
      </c>
      <c r="I12" s="17"/>
      <c r="J12" s="2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9.95" customHeight="1">
      <c r="A13" s="11">
        <v>10</v>
      </c>
      <c r="B13" s="37" t="s">
        <v>27</v>
      </c>
      <c r="C13" s="21" t="s">
        <v>28</v>
      </c>
      <c r="E13" s="14">
        <v>3</v>
      </c>
      <c r="F13" s="11" t="s">
        <v>8</v>
      </c>
      <c r="G13" s="15">
        <v>2.75</v>
      </c>
      <c r="H13" s="16">
        <f>IF(F13 = H$3,$E13*$G13,)</f>
        <v>8.25</v>
      </c>
      <c r="I13" s="17"/>
      <c r="J13" s="2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9.95" customHeight="1">
      <c r="A14" s="11">
        <v>11</v>
      </c>
      <c r="B14" s="37" t="s">
        <v>29</v>
      </c>
      <c r="C14" s="21" t="s">
        <v>30</v>
      </c>
      <c r="E14" s="14">
        <v>1</v>
      </c>
      <c r="F14" s="11" t="s">
        <v>8</v>
      </c>
      <c r="G14" s="15">
        <v>11.18</v>
      </c>
      <c r="H14" s="16">
        <f>IF(F14 = H$3,$E14*$G14,)</f>
        <v>11.18</v>
      </c>
      <c r="I14" s="27"/>
      <c r="J14" s="25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9.95" customHeight="1">
      <c r="A15" s="11">
        <v>12</v>
      </c>
      <c r="B15" s="37" t="s">
        <v>31</v>
      </c>
      <c r="C15" s="21" t="s">
        <v>32</v>
      </c>
      <c r="D15" s="13"/>
      <c r="E15" s="14">
        <v>1</v>
      </c>
      <c r="F15" s="11" t="s">
        <v>8</v>
      </c>
      <c r="G15" s="15">
        <v>0</v>
      </c>
      <c r="H15" s="16">
        <f>IF(F15 = H$3,$E15*$G15,)</f>
        <v>0</v>
      </c>
      <c r="I15" s="27"/>
      <c r="J15" s="5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9.95" customHeight="1">
      <c r="A16" s="11">
        <v>13</v>
      </c>
      <c r="B16" s="37" t="s">
        <v>33</v>
      </c>
      <c r="C16" s="21" t="s">
        <v>34</v>
      </c>
      <c r="D16" s="13"/>
      <c r="E16" s="14">
        <v>3</v>
      </c>
      <c r="F16" s="11" t="s">
        <v>8</v>
      </c>
      <c r="G16" s="15">
        <v>13.2</v>
      </c>
      <c r="H16" s="16">
        <f>IF(F16 = H$3,$E16*$G16,)</f>
        <v>39.599999999999994</v>
      </c>
      <c r="I16" s="9"/>
      <c r="J16" s="25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9.95" customHeight="1">
      <c r="A17" s="11">
        <v>14</v>
      </c>
      <c r="B17" s="37" t="s">
        <v>35</v>
      </c>
      <c r="C17" s="21" t="s">
        <v>36</v>
      </c>
      <c r="D17" s="13"/>
      <c r="E17" s="14">
        <v>2</v>
      </c>
      <c r="F17" s="11" t="s">
        <v>8</v>
      </c>
      <c r="G17" s="15">
        <v>6.7</v>
      </c>
      <c r="H17" s="16">
        <f>IF(F17 = H$3,$E17*$G17,)</f>
        <v>13.4</v>
      </c>
      <c r="I17" s="9"/>
      <c r="J17" s="4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9.95" customHeight="1">
      <c r="A18" s="11">
        <v>15</v>
      </c>
      <c r="B18" s="37" t="s">
        <v>37</v>
      </c>
      <c r="C18" s="21" t="s">
        <v>38</v>
      </c>
      <c r="D18" s="13"/>
      <c r="E18" s="14">
        <v>1</v>
      </c>
      <c r="F18" s="11" t="s">
        <v>8</v>
      </c>
      <c r="G18" s="15">
        <v>25.65</v>
      </c>
      <c r="H18" s="16">
        <f>IF(F18 = H$3,$E18*$G18,)</f>
        <v>25.65</v>
      </c>
      <c r="I18" s="17"/>
      <c r="J18" s="2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9.95" customHeight="1">
      <c r="A19" s="11">
        <v>16</v>
      </c>
      <c r="B19" s="37" t="s">
        <v>39</v>
      </c>
      <c r="C19" s="21" t="s">
        <v>40</v>
      </c>
      <c r="D19" s="13"/>
      <c r="E19" s="14">
        <v>1</v>
      </c>
      <c r="F19" s="23" t="s">
        <v>8</v>
      </c>
      <c r="G19" s="24">
        <v>10.56</v>
      </c>
      <c r="H19" s="16">
        <f>IF(F19 = H$3,$E19*$G19,)</f>
        <v>10.56</v>
      </c>
      <c r="I19" s="17"/>
      <c r="J19" s="4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9.95" customHeight="1">
      <c r="A20" s="47">
        <v>17</v>
      </c>
      <c r="B20" s="48" t="s">
        <v>43</v>
      </c>
      <c r="C20" s="49" t="s">
        <v>42</v>
      </c>
      <c r="D20" s="50"/>
      <c r="E20" s="51">
        <v>1</v>
      </c>
      <c r="F20" s="47" t="s">
        <v>8</v>
      </c>
      <c r="G20" s="52">
        <v>1.5</v>
      </c>
      <c r="H20" s="53">
        <f>IF(F20 = H$3,$E20*$G20,)</f>
        <v>1.5</v>
      </c>
      <c r="I20" s="27"/>
      <c r="J20" s="4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9.95" customHeight="1">
      <c r="A21" s="41"/>
      <c r="B21" s="41"/>
      <c r="C21" s="41"/>
      <c r="D21" s="41"/>
      <c r="E21" s="41"/>
      <c r="F21" s="32" t="s">
        <v>41</v>
      </c>
      <c r="G21" s="33"/>
      <c r="H21" s="22">
        <f>SUM(H4:H20)</f>
        <v>435.44</v>
      </c>
      <c r="I21" s="38"/>
      <c r="J21" s="4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9.95" customHeight="1">
      <c r="A22" s="42"/>
      <c r="B22" s="43"/>
      <c r="C22" s="44"/>
      <c r="D22" s="45"/>
      <c r="E22" s="46"/>
      <c r="F22" s="34"/>
      <c r="G22" s="35"/>
      <c r="H22" s="40">
        <f>H21*1.15</f>
        <v>500.75599999999997</v>
      </c>
      <c r="I22" s="38"/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9.95" customHeight="1">
      <c r="I23" s="38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9.95" customHeight="1"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9.95" customHeight="1">
      <c r="I25" s="39"/>
      <c r="J25" s="1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9.95" customHeight="1">
      <c r="A26" s="6"/>
      <c r="B26" s="6"/>
      <c r="C26" s="6"/>
      <c r="D26" s="6"/>
      <c r="E26" s="6"/>
      <c r="H26" s="6"/>
      <c r="I26" s="6"/>
      <c r="J26" s="6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9.95" customHeight="1">
      <c r="A27" s="6"/>
      <c r="B27" s="6"/>
      <c r="C27" s="6"/>
      <c r="D27" s="6"/>
      <c r="E27" s="6"/>
      <c r="I27" s="6"/>
      <c r="J27" s="6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9.95" customHeight="1">
      <c r="A28" s="6"/>
      <c r="B28" s="6"/>
      <c r="C28" s="6"/>
      <c r="D28" s="6"/>
      <c r="E28" s="6"/>
      <c r="I28" s="4"/>
      <c r="J28" s="4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9.95" customHeight="1">
      <c r="A29" s="6"/>
      <c r="B29" s="6"/>
      <c r="C29" s="6"/>
      <c r="D29" s="6"/>
      <c r="E29" s="6"/>
      <c r="F29" s="6"/>
      <c r="G29" s="6"/>
      <c r="H29" s="6"/>
      <c r="I29" s="4"/>
      <c r="J29" s="4"/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9.95" customHeight="1">
      <c r="A30" s="6"/>
      <c r="B30" s="6"/>
      <c r="C30" s="6"/>
      <c r="D30" s="6"/>
      <c r="E30" s="6"/>
      <c r="F30" s="6"/>
      <c r="G30" s="6"/>
      <c r="H30" s="6"/>
      <c r="I30" s="4"/>
      <c r="J30" s="4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9.95" customHeight="1">
      <c r="A31" s="6"/>
      <c r="B31" s="6"/>
      <c r="C31" s="6"/>
      <c r="D31" s="6"/>
      <c r="E31" s="6"/>
      <c r="F31" s="6"/>
      <c r="G31" s="6"/>
      <c r="H31" s="6"/>
      <c r="I31" s="4"/>
      <c r="J31" s="4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9.95" customHeight="1">
      <c r="A32" s="6"/>
      <c r="B32" s="6"/>
      <c r="C32" s="6"/>
      <c r="D32" s="6"/>
      <c r="E32" s="6"/>
      <c r="F32" s="6"/>
      <c r="G32" s="6"/>
      <c r="H32" s="6"/>
      <c r="I32" s="4"/>
      <c r="J32" s="4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9.95" customHeight="1">
      <c r="A33" s="6"/>
      <c r="B33" s="6"/>
      <c r="C33" s="6"/>
      <c r="D33" s="6"/>
      <c r="E33" s="6"/>
      <c r="F33" s="6"/>
      <c r="G33" s="6"/>
      <c r="H33" s="6"/>
      <c r="I33" s="4"/>
      <c r="J33" s="4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9.95" customHeight="1">
      <c r="A34" s="6"/>
      <c r="B34" s="6"/>
      <c r="C34" s="6"/>
      <c r="D34" s="6"/>
      <c r="E34" s="6"/>
      <c r="F34" s="6"/>
      <c r="G34" s="6"/>
      <c r="H34" s="6"/>
      <c r="I34" s="4"/>
      <c r="J34" s="4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19.95" customHeight="1">
      <c r="A35" s="6"/>
      <c r="B35" s="6"/>
      <c r="C35" s="6"/>
      <c r="D35" s="6"/>
      <c r="E35" s="6"/>
      <c r="F35" s="6"/>
      <c r="G35" s="6"/>
      <c r="H35" s="6"/>
      <c r="I35" s="4"/>
      <c r="J35" s="4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9.95" customHeight="1">
      <c r="A36" s="6"/>
      <c r="B36" s="6"/>
      <c r="C36" s="6"/>
      <c r="D36" s="6"/>
      <c r="E36" s="6"/>
      <c r="F36" s="6"/>
      <c r="G36" s="6"/>
      <c r="H36" s="6"/>
      <c r="I36" s="4"/>
      <c r="J36" s="4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9.95" customHeight="1">
      <c r="A37" s="6"/>
      <c r="B37" s="6"/>
      <c r="C37" s="6"/>
      <c r="D37" s="6"/>
      <c r="E37" s="6"/>
      <c r="F37" s="6"/>
      <c r="G37" s="6"/>
      <c r="H37" s="6"/>
      <c r="I37" s="4"/>
      <c r="J37" s="4"/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19.95" customHeight="1">
      <c r="A38" s="6"/>
      <c r="B38" s="6"/>
      <c r="C38" s="6"/>
      <c r="D38" s="6"/>
      <c r="E38" s="6"/>
      <c r="F38" s="6"/>
      <c r="G38" s="6"/>
      <c r="H38" s="6"/>
      <c r="I38" s="7"/>
      <c r="J38" s="4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9.95" customHeight="1">
      <c r="A39" s="6"/>
      <c r="B39" s="6"/>
      <c r="C39" s="6"/>
      <c r="D39" s="6"/>
      <c r="E39" s="6"/>
      <c r="F39" s="6"/>
      <c r="G39" s="6"/>
      <c r="H39" s="6"/>
      <c r="I39" s="7"/>
      <c r="J39" s="4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9.95" customHeight="1">
      <c r="A40" s="6"/>
      <c r="B40" s="6"/>
      <c r="C40" s="6"/>
      <c r="D40" s="6"/>
      <c r="E40" s="6"/>
      <c r="F40" s="6"/>
      <c r="G40" s="6"/>
      <c r="H40" s="6"/>
      <c r="I40" s="7"/>
      <c r="J40" s="4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9.95" customHeight="1">
      <c r="A41" s="6"/>
      <c r="B41" s="6"/>
      <c r="C41" s="6"/>
      <c r="D41" s="6"/>
      <c r="E41" s="6"/>
      <c r="F41" s="6"/>
      <c r="G41" s="6"/>
      <c r="H41" s="6"/>
      <c r="I41" s="7"/>
      <c r="J41" s="4"/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9.95" customHeight="1">
      <c r="A42" s="6"/>
      <c r="B42" s="6"/>
      <c r="C42" s="6"/>
      <c r="D42" s="6"/>
      <c r="E42" s="6"/>
      <c r="F42" s="6"/>
      <c r="G42" s="6"/>
      <c r="H42" s="6"/>
      <c r="I42" s="7"/>
      <c r="J42" s="4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9.95" customHeight="1">
      <c r="A43" s="6"/>
      <c r="B43" s="6"/>
      <c r="C43" s="6"/>
      <c r="D43" s="6"/>
      <c r="E43" s="6"/>
      <c r="F43" s="6"/>
      <c r="G43" s="6"/>
      <c r="H43" s="6"/>
      <c r="I43" s="7"/>
      <c r="J43" s="4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9.95" customHeight="1">
      <c r="A44" s="6"/>
      <c r="B44" s="6"/>
      <c r="C44" s="6"/>
      <c r="D44" s="6"/>
      <c r="E44" s="6"/>
      <c r="F44" s="6"/>
      <c r="G44" s="6"/>
      <c r="H44" s="6"/>
      <c r="I44" s="7"/>
      <c r="J44" s="4"/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19.95" customHeight="1">
      <c r="A45" s="6"/>
      <c r="B45" s="6"/>
      <c r="C45" s="6"/>
      <c r="D45" s="6"/>
      <c r="E45" s="6"/>
      <c r="F45" s="6"/>
      <c r="G45" s="6"/>
      <c r="H45" s="6"/>
      <c r="I45" s="5"/>
      <c r="J45" s="4"/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19.95" customHeight="1">
      <c r="A46" s="6"/>
      <c r="B46" s="6"/>
      <c r="C46" s="6"/>
      <c r="D46" s="6"/>
      <c r="E46" s="6"/>
      <c r="F46" s="6"/>
      <c r="G46" s="6"/>
      <c r="H46" s="6"/>
      <c r="I46" s="5"/>
      <c r="J46" s="4"/>
      <c r="K46" s="4"/>
      <c r="L46" s="4"/>
      <c r="M46" s="19"/>
      <c r="N46" s="20"/>
      <c r="O46" s="5"/>
      <c r="P46" s="5"/>
      <c r="Q46" s="5"/>
      <c r="R46" s="5"/>
      <c r="S46" s="5"/>
      <c r="T46" s="5"/>
      <c r="U46" s="1"/>
    </row>
    <row r="47" spans="1:21" ht="19.95" customHeight="1">
      <c r="A47" s="6"/>
      <c r="B47" s="6"/>
      <c r="C47" s="6"/>
      <c r="D47" s="6"/>
      <c r="E47" s="6"/>
      <c r="F47" s="6"/>
      <c r="G47" s="6"/>
      <c r="H47" s="6"/>
      <c r="I47" s="5"/>
      <c r="J47" s="5"/>
      <c r="K47" s="4"/>
      <c r="L47" s="4"/>
      <c r="M47" s="19"/>
      <c r="N47" s="20"/>
      <c r="O47" s="5"/>
      <c r="P47" s="5"/>
      <c r="Q47" s="5"/>
      <c r="R47" s="5"/>
      <c r="S47" s="5"/>
      <c r="T47" s="5"/>
      <c r="U47" s="1"/>
    </row>
    <row r="48" spans="1:21" ht="19.95" customHeight="1">
      <c r="A48" s="6"/>
      <c r="B48" s="6"/>
      <c r="C48" s="6"/>
      <c r="D48" s="6"/>
      <c r="E48" s="6"/>
      <c r="F48" s="6"/>
      <c r="G48" s="6"/>
      <c r="H48" s="6"/>
      <c r="I48" s="1"/>
      <c r="J48" s="5"/>
      <c r="K48" s="4"/>
      <c r="L48" s="4"/>
      <c r="M48" s="19"/>
      <c r="N48" s="20"/>
      <c r="O48" s="5"/>
      <c r="P48" s="5"/>
      <c r="Q48" s="5"/>
      <c r="R48" s="5"/>
      <c r="S48" s="5"/>
      <c r="T48" s="5"/>
      <c r="U48" s="1"/>
    </row>
    <row r="49" spans="1:21" ht="19.95" customHeight="1">
      <c r="A49" s="6"/>
      <c r="B49" s="6"/>
      <c r="C49" s="6"/>
      <c r="D49" s="6"/>
      <c r="E49" s="6"/>
      <c r="F49" s="6"/>
      <c r="G49" s="6"/>
      <c r="H49" s="6"/>
      <c r="I49" s="19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9.95" customHeight="1">
      <c r="A50" s="6"/>
      <c r="B50" s="6"/>
      <c r="C50" s="6"/>
      <c r="D50" s="6"/>
      <c r="E50" s="6"/>
      <c r="F50" s="6"/>
      <c r="G50" s="6"/>
      <c r="H50" s="6"/>
      <c r="I50" s="19"/>
      <c r="J50" s="1"/>
      <c r="K50" s="19"/>
      <c r="L50" s="19"/>
      <c r="M50" s="19"/>
      <c r="N50" s="19"/>
      <c r="O50" s="19"/>
      <c r="P50" s="19"/>
      <c r="Q50" s="19"/>
      <c r="R50" s="1"/>
      <c r="S50" s="1"/>
      <c r="T50" s="1"/>
      <c r="U50" s="1"/>
    </row>
    <row r="51" spans="1:21" ht="19.95" customHeight="1">
      <c r="A51" s="6"/>
      <c r="B51" s="6"/>
      <c r="C51" s="6"/>
      <c r="D51" s="6"/>
      <c r="E51" s="6"/>
      <c r="F51" s="6"/>
      <c r="G51" s="6"/>
      <c r="H51" s="6"/>
      <c r="I51" s="19"/>
      <c r="J51" s="19"/>
      <c r="K51" s="19"/>
      <c r="L51" s="19"/>
      <c r="M51" s="19"/>
      <c r="N51" s="19"/>
      <c r="O51" s="19"/>
      <c r="P51" s="19"/>
      <c r="Q51" s="19"/>
      <c r="R51" s="1"/>
      <c r="S51" s="1"/>
      <c r="T51" s="1"/>
      <c r="U51" s="1"/>
    </row>
    <row r="52" spans="1:21" ht="19.95" customHeight="1">
      <c r="A52" s="6"/>
      <c r="B52" s="6"/>
      <c r="C52" s="6"/>
      <c r="D52" s="6"/>
      <c r="E52" s="6"/>
      <c r="F52" s="6"/>
      <c r="G52" s="6"/>
      <c r="H52" s="6"/>
      <c r="I52" s="19"/>
      <c r="J52" s="19"/>
      <c r="K52" s="19"/>
      <c r="L52" s="19"/>
      <c r="M52" s="19"/>
      <c r="N52" s="19"/>
      <c r="O52" s="19"/>
      <c r="P52" s="19"/>
      <c r="Q52" s="19"/>
      <c r="R52" s="1"/>
      <c r="S52" s="1"/>
      <c r="T52" s="1"/>
      <c r="U52" s="1"/>
    </row>
    <row r="53" spans="1:21" ht="19.95" customHeight="1">
      <c r="A53" s="6">
        <v>50</v>
      </c>
      <c r="B53" s="6"/>
      <c r="C53" s="6"/>
      <c r="D53" s="6"/>
      <c r="E53" s="6"/>
      <c r="F53" s="6"/>
      <c r="G53" s="6"/>
      <c r="H53" s="6"/>
      <c r="I53" s="19"/>
      <c r="J53" s="19"/>
      <c r="K53" s="19"/>
      <c r="L53" s="19"/>
      <c r="M53" s="19"/>
      <c r="N53" s="19"/>
      <c r="O53" s="19"/>
      <c r="P53" s="19"/>
      <c r="Q53" s="19"/>
      <c r="R53" s="1"/>
      <c r="S53" s="1"/>
      <c r="T53" s="1"/>
      <c r="U53" s="1"/>
    </row>
    <row r="54" spans="1:21" ht="15.75" customHeight="1">
      <c r="A54" s="18"/>
      <c r="B54" s="6"/>
      <c r="C54" s="6"/>
      <c r="D54" s="18"/>
      <c r="E54" s="18"/>
      <c r="I54" s="19"/>
      <c r="J54" s="19"/>
      <c r="K54" s="19"/>
      <c r="L54" s="19"/>
      <c r="M54" s="19"/>
      <c r="N54" s="19"/>
      <c r="O54" s="19"/>
      <c r="P54" s="19"/>
      <c r="Q54" s="19"/>
      <c r="R54" s="1"/>
      <c r="S54" s="1"/>
      <c r="T54" s="1"/>
      <c r="U54" s="1"/>
    </row>
    <row r="55" spans="1:21" ht="15.75" customHeight="1">
      <c r="A55" s="6"/>
      <c r="B55" s="6"/>
      <c r="C55" s="6"/>
      <c r="D55" s="6"/>
      <c r="E55" s="6"/>
      <c r="I55" s="6"/>
      <c r="J55" s="6"/>
      <c r="K55" s="6"/>
      <c r="L55" s="6"/>
      <c r="M55" s="19"/>
      <c r="N55" s="19"/>
      <c r="O55" s="19"/>
      <c r="P55" s="19"/>
      <c r="Q55" s="19"/>
      <c r="R55" s="1"/>
      <c r="S55" s="1"/>
      <c r="T55" s="1"/>
      <c r="U55" s="1"/>
    </row>
    <row r="56" spans="1:21" ht="14.25" customHeight="1">
      <c r="A56" s="6"/>
      <c r="B56" s="6"/>
      <c r="C56" s="6"/>
      <c r="D56" s="6"/>
      <c r="E56" s="6"/>
      <c r="I56" s="6"/>
      <c r="J56" s="6"/>
      <c r="K56" s="6"/>
      <c r="L56" s="6"/>
      <c r="M56" s="19"/>
      <c r="N56" s="19"/>
      <c r="O56" s="19"/>
      <c r="P56" s="19"/>
      <c r="Q56" s="19"/>
      <c r="R56" s="1"/>
      <c r="S56" s="1"/>
      <c r="T56" s="1"/>
      <c r="U56" s="1"/>
    </row>
    <row r="57" spans="1:21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5"/>
      <c r="N57" s="5"/>
      <c r="O57" s="5"/>
      <c r="P57" s="5"/>
      <c r="Q57" s="5"/>
      <c r="R57" s="1"/>
      <c r="S57" s="1"/>
      <c r="T57" s="1"/>
      <c r="U57" s="1"/>
    </row>
    <row r="58" spans="1:21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5"/>
      <c r="N58" s="5"/>
      <c r="O58" s="5"/>
      <c r="P58" s="5"/>
      <c r="Q58" s="5"/>
      <c r="R58" s="1"/>
      <c r="S58" s="1"/>
      <c r="T58" s="1"/>
      <c r="U58" s="1"/>
    </row>
    <row r="59" spans="1:21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5"/>
      <c r="N59" s="5"/>
      <c r="O59" s="5"/>
      <c r="P59" s="5"/>
      <c r="Q59" s="5"/>
      <c r="R59" s="1"/>
      <c r="S59" s="1"/>
      <c r="T59" s="1"/>
      <c r="U59" s="1"/>
    </row>
    <row r="60" spans="1:21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1"/>
      <c r="N60" s="1"/>
      <c r="O60" s="1"/>
      <c r="P60" s="1"/>
      <c r="Q60" s="1"/>
      <c r="R60" s="1"/>
      <c r="S60" s="1"/>
      <c r="T60" s="1"/>
      <c r="U60" s="1"/>
    </row>
    <row r="61" spans="1:2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1"/>
      <c r="N61" s="1"/>
      <c r="O61" s="1"/>
      <c r="P61" s="1"/>
      <c r="Q61" s="1"/>
      <c r="R61" s="1"/>
      <c r="S61" s="1"/>
      <c r="T61" s="1"/>
      <c r="U61" s="1"/>
    </row>
    <row r="62" spans="1:21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5"/>
      <c r="N62" s="5"/>
      <c r="O62" s="5"/>
      <c r="P62" s="5"/>
      <c r="Q62" s="5"/>
      <c r="R62" s="5"/>
      <c r="S62" s="5"/>
      <c r="T62" s="5"/>
      <c r="U62" s="19"/>
    </row>
    <row r="63" spans="1:21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5"/>
      <c r="N63" s="5"/>
      <c r="O63" s="5"/>
      <c r="P63" s="5"/>
      <c r="Q63" s="5"/>
      <c r="R63" s="5"/>
      <c r="S63" s="5"/>
      <c r="T63" s="5"/>
      <c r="U63" s="19"/>
    </row>
    <row r="64" spans="1:21" ht="17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5"/>
      <c r="N64" s="5"/>
      <c r="O64" s="5"/>
      <c r="P64" s="5"/>
      <c r="Q64" s="5"/>
      <c r="R64" s="5"/>
      <c r="S64" s="5"/>
      <c r="T64" s="5"/>
      <c r="U64" s="19"/>
    </row>
    <row r="65" spans="1:21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</row>
    <row r="66" spans="1:21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</row>
    <row r="67" spans="1:21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</row>
    <row r="68" spans="1:21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</row>
    <row r="69" spans="1:21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</row>
    <row r="70" spans="1:21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</row>
    <row r="71" spans="1:2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</row>
    <row r="72" spans="1:21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1:21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1:21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1:21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1:21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1:21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1:21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1:21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1:21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1:2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1:21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  <row r="1003" spans="1:21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</row>
    <row r="1004" spans="1:21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</row>
    <row r="1005" spans="1:21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</row>
    <row r="1006" spans="1:21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</row>
    <row r="1007" spans="1:21" ht="14.2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</row>
  </sheetData>
  <mergeCells count="8">
    <mergeCell ref="A2:A3"/>
    <mergeCell ref="B2:B3"/>
    <mergeCell ref="C2:C3"/>
    <mergeCell ref="F21:G22"/>
    <mergeCell ref="D2:D3"/>
    <mergeCell ref="E2:E3"/>
    <mergeCell ref="F2:F3"/>
    <mergeCell ref="G2:G3"/>
  </mergeCells>
  <phoneticPr fontId="13" type="noConversion"/>
  <dataValidations count="1">
    <dataValidation type="list" allowBlank="1" showErrorMessage="1" sqref="F52 F4:F22 F29:F34" xr:uid="{00000000-0002-0000-0000-000000000000}">
      <formula1>$H$3:$H$3</formula1>
    </dataValidation>
  </dataValidations>
  <hyperlinks>
    <hyperlink ref="C5" r:id="rId1" xr:uid="{1BC16006-0B4C-40D3-BFB0-C6CA21BC5365}"/>
    <hyperlink ref="C6" r:id="rId2" xr:uid="{FC44491B-FDFC-4021-8651-E19D9223C216}"/>
    <hyperlink ref="C7" r:id="rId3" xr:uid="{350EF2DA-9D2B-404F-A5EC-0413DB3D5B8A}"/>
    <hyperlink ref="C8" r:id="rId4" xr:uid="{56356BE3-485A-455B-A6AD-0EB2C60F3B81}"/>
    <hyperlink ref="C10" r:id="rId5" xr:uid="{AC7B88C6-5615-44F2-808E-EF62AF1290E0}"/>
    <hyperlink ref="C12" r:id="rId6" display="https://item.taobao.com/item.htm?abbucket=3&amp;id=773044688198&amp;mi_id=0000o0TQRHP5WYfrXn7yVnNYE7hnSj8OjiIN9DrkrLe5zTw&amp;ns=1&amp;priceTId=2100c89317718532634203533e0cdb&amp;spm=a21n57.1.hoverItem.2&amp;utparam=%7B%22aplus_abtest%22%3A%22f302a93986c91eb5bf3d5fda48988bfd%22%7D&amp;xxc=taobaoSearch&amp;skuId=5463603075088 " xr:uid="{C5566206-30D7-4F34-A888-74FA7C8787C1}"/>
    <hyperlink ref="C13" r:id="rId7" display="https://item.taobao.com/item.htm?abbucket=3&amp;id=787710083854&amp;mi_id=0000dH7WFqPo0VTsYjpnAS_Q4XCGEMyEbrfLht3nhTk_3H4&amp;ns=1&amp;priceTId=2100c89317718533692436712e0cdb&amp;spm=a21n57.1.hoverItem.1&amp;utparam=%7B%22aplus_abtest%22%3A%224c2fa0c1d9d46ededc0a99b18837d993%22%7D&amp;xxc=taobaoSearch&amp;skuId=5548210563574 " xr:uid="{5690B020-D1A3-4339-8042-2162A97F3CB0}"/>
    <hyperlink ref="C19" r:id="rId8" xr:uid="{0484DBBF-F685-48B0-905A-A2B15A604B44}"/>
    <hyperlink ref="C11" r:id="rId9" display="https://item.taobao.com/item.htm?abbucket=3&amp;id=588096657853&amp;mi_id=0000wcrxEWxjGnVqV1EtPKLfYc-xaoayPOO1ndrYif0qneY&amp;ns=1&amp;priceTId=2100c89317718531649681067e0cdb&amp;skuId=4009433069850&amp;spm=a21n57.1.hoverItem.2&amp;utparam=%7B%22aplus_abtest%22%3A%22a8937da123f65f19e1c9c155c626044f%22%7D&amp;xxc=taobaoSearch " xr:uid="{80D3A539-58C2-424B-8BD2-310D221BB87D}"/>
    <hyperlink ref="C17" r:id="rId10" xr:uid="{B8FB3FF0-079E-4D70-A34D-786B50399894}"/>
    <hyperlink ref="C18" r:id="rId11" xr:uid="{D2604814-835B-43C3-93C4-9E68179BCB52}"/>
    <hyperlink ref="C4" r:id="rId12" xr:uid="{8ABEDF76-66B2-442D-A4B1-E2728F99D099}"/>
    <hyperlink ref="C20" r:id="rId13" display="https://item.taobao.com/item.htm?from=cart&amp;id=837011425535&amp;mi_id=00002JJiWREtcmVTrHMfal0z-u4fnfVPven3LmJKz-rVWXQ&amp;skuId=5762086830849&amp;spm=a1z0d.6639537%2F202410.item.d837011425535.45007484wUxzaw&amp;upStreamPrice=1056 " xr:uid="{38F670C9-E9DE-4617-8757-13A3F1203E06}"/>
  </hyperlinks>
  <pageMargins left="0.2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CHAN, Hoi Lam</dc:creator>
  <cp:keywords/>
  <dc:description/>
  <cp:lastModifiedBy>ZHANG Tsz Kai</cp:lastModifiedBy>
  <cp:revision/>
  <dcterms:created xsi:type="dcterms:W3CDTF">2013-09-10T03:02:32Z</dcterms:created>
  <dcterms:modified xsi:type="dcterms:W3CDTF">2026-04-20T06:19:39Z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0x0101004ADB0767B26E5D479FB7B1D7204D2171</vt:lpwstr>
  </property>
  <property fmtid="{D5CDD505-2E9C-101B-9397-08002B2CF9AE}" pid="3" name="MediaServiceImageTags">
    <vt:lpwstr/>
  </property>
</Properties>
</file>